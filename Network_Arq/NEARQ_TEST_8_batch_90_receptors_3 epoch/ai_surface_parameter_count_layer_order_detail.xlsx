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Dropbox\Root\Github Repositories\ai_surface_seismogram_emulation\Network_Arq\NEARQ_8_batch_90_receptors_80 epoch_nn.loss_Guassian\"/>
    </mc:Choice>
  </mc:AlternateContent>
  <xr:revisionPtr revIDLastSave="0" documentId="13_ncr:1_{846B11EA-78F9-4AB5-970F-89B3F8D578E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Layer-by-Layer Order" sheetId="1" r:id="rId1"/>
    <sheet name="Block Subtotals" sheetId="2" r:id="rId2"/>
    <sheet name="Calculation Rul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4" i="1" l="1"/>
</calcChain>
</file>

<file path=xl/sharedStrings.xml><?xml version="1.0" encoding="utf-8"?>
<sst xmlns="http://schemas.openxmlformats.org/spreadsheetml/2006/main" count="335" uniqueCount="185">
  <si>
    <t>AI Surface Seismogram Emulation - Parameter Count in Network Order</t>
  </si>
  <si>
    <t>Total trainable parameters: 20,409,180 ≈ 20.41 M. Rows are not aggregated; each parameterized operation is listed in functional network order.</t>
  </si>
  <si>
    <t>Order</t>
  </si>
  <si>
    <t>Stage</t>
  </si>
  <si>
    <t>Branch / Flow</t>
  </si>
  <si>
    <t>Module / Layer</t>
  </si>
  <si>
    <t>Operation</t>
  </si>
  <si>
    <t>Input Size</t>
  </si>
  <si>
    <t>Output Size</t>
  </si>
  <si>
    <t>Kernel</t>
  </si>
  <si>
    <t>Weight Tensor Shape</t>
  </si>
  <si>
    <t>Weight Calculation</t>
  </si>
  <si>
    <t>Weight Params</t>
  </si>
  <si>
    <t>Bias / Scale-Shift Shape</t>
  </si>
  <si>
    <t>Bias / Scale-Shift Calculation</t>
  </si>
  <si>
    <t>Bias / Scale-Shift Params</t>
  </si>
  <si>
    <t>Total Params</t>
  </si>
  <si>
    <t>Parameters (M)</t>
  </si>
  <si>
    <t>Share of Total</t>
  </si>
  <si>
    <t>Cumulative Params</t>
  </si>
  <si>
    <t>Notes</t>
  </si>
  <si>
    <t>Velocity-model branch</t>
  </si>
  <si>
    <t>Velocity model encoder</t>
  </si>
  <si>
    <t>model_encoder.0</t>
  </si>
  <si>
    <t>Conv2D</t>
  </si>
  <si>
    <t>1 channel</t>
  </si>
  <si>
    <t>32 channels</t>
  </si>
  <si>
    <t>5 x 5</t>
  </si>
  <si>
    <t>(32, 1, 5, 5)</t>
  </si>
  <si>
    <t>32 × 1 × 5 × 5</t>
  </si>
  <si>
    <t>(32,)</t>
  </si>
  <si>
    <t>32</t>
  </si>
  <si>
    <t>First convolutional scan of the velocity model.</t>
  </si>
  <si>
    <t>model_encoder.1</t>
  </si>
  <si>
    <t>64 channels</t>
  </si>
  <si>
    <t>(64, 32, 5, 5)</t>
  </si>
  <si>
    <t>64 × 32 × 5 × 5</t>
  </si>
  <si>
    <t>(64,)</t>
  </si>
  <si>
    <t>64</t>
  </si>
  <si>
    <t>Second convolutional feature extraction layer.</t>
  </si>
  <si>
    <t>model_encoder.2</t>
  </si>
  <si>
    <t>128 channels</t>
  </si>
  <si>
    <t>3 x 3</t>
  </si>
  <si>
    <t>(128, 64, 3, 3)</t>
  </si>
  <si>
    <t>128 × 64 × 3 × 3</t>
  </si>
  <si>
    <t>(128,)</t>
  </si>
  <si>
    <t>128</t>
  </si>
  <si>
    <t>Deeper spatial feature extraction.</t>
  </si>
  <si>
    <t>model_encoder.3</t>
  </si>
  <si>
    <t>256 channels</t>
  </si>
  <si>
    <t>(256, 128, 3, 3)</t>
  </si>
  <si>
    <t>256 × 128 × 3 × 3</t>
  </si>
  <si>
    <t>(256,)</t>
  </si>
  <si>
    <t>256</t>
  </si>
  <si>
    <t>High-dimensional spatial feature extraction.</t>
  </si>
  <si>
    <t>model_encoder.4</t>
  </si>
  <si>
    <t>(256, 256, 3, 3)</t>
  </si>
  <si>
    <t>256 × 256 × 3 × 3</t>
  </si>
  <si>
    <t>Final convolutional feature extraction before the model head.</t>
  </si>
  <si>
    <t>Model head</t>
  </si>
  <si>
    <t>model_head.1</t>
  </si>
  <si>
    <t>Linear / Gemm</t>
  </si>
  <si>
    <t>(1024, 4096)</t>
  </si>
  <si>
    <t>1024 × 4096</t>
  </si>
  <si>
    <t>(1024,)</t>
  </si>
  <si>
    <t>1024</t>
  </si>
  <si>
    <t>Projects flattened CNN features into a latent vector.</t>
  </si>
  <si>
    <t>model_head.norm_1</t>
  </si>
  <si>
    <t>LayerNorm</t>
  </si>
  <si>
    <t>(1024,) scale</t>
  </si>
  <si>
    <t>(1024,) bias</t>
  </si>
  <si>
    <t>Normalizes the 1024-dimensional physical latent vector.</t>
  </si>
  <si>
    <t>model_head.linear_2</t>
  </si>
  <si>
    <t>(512, 1024)</t>
  </si>
  <si>
    <t>512 × 1024</t>
  </si>
  <si>
    <t>(512,)</t>
  </si>
  <si>
    <t>512</t>
  </si>
  <si>
    <t>Compresses the physical latent representation to 512 features.</t>
  </si>
  <si>
    <t>model_head.norm_2</t>
  </si>
  <si>
    <t>(512,) scale</t>
  </si>
  <si>
    <t>(512,) bias</t>
  </si>
  <si>
    <t>Normalizes the 512-dimensional model representation.</t>
  </si>
  <si>
    <t>Receiver branch</t>
  </si>
  <si>
    <t>Receiver encoding</t>
  </si>
  <si>
    <t>receiver_fourier_encoder</t>
  </si>
  <si>
    <t>Fourier Features</t>
  </si>
  <si>
    <t>No trainable weights</t>
  </si>
  <si>
    <t>0</t>
  </si>
  <si>
    <t>No trainable bias</t>
  </si>
  <si>
    <t>Expands receiver coordinates into a 66-dimensional Fourier-feature representation.</t>
  </si>
  <si>
    <t>Receiver MLP</t>
  </si>
  <si>
    <t>receiver_mlp.0</t>
  </si>
  <si>
    <t>(128, 66)</t>
  </si>
  <si>
    <t>128 × 66</t>
  </si>
  <si>
    <t>Maps Fourier receiver features into a 128-dimensional latent vector.</t>
  </si>
  <si>
    <t>receiver_mlp.norm_1</t>
  </si>
  <si>
    <t>(128,) scale</t>
  </si>
  <si>
    <t>(128,) bias</t>
  </si>
  <si>
    <t>Stabilizes the first receiver latent representation.</t>
  </si>
  <si>
    <t>receiver_mlp.linear_2</t>
  </si>
  <si>
    <t>(256, 128)</t>
  </si>
  <si>
    <t>256 × 128</t>
  </si>
  <si>
    <t>Projects the receiver representation into a 256-dimensional latent space.</t>
  </si>
  <si>
    <t>receiver_mlp.norm_2</t>
  </si>
  <si>
    <t>(256,) scale</t>
  </si>
  <si>
    <t>(256,) bias</t>
  </si>
  <si>
    <t>Normalizes the receiver latent vector used by FiLM and fusion.</t>
  </si>
  <si>
    <t>Receiver-conditioned modulation</t>
  </si>
  <si>
    <t>FiLM gamma</t>
  </si>
  <si>
    <t>film_gamma</t>
  </si>
  <si>
    <t>(512, 256)</t>
  </si>
  <si>
    <t>512 × 256</t>
  </si>
  <si>
    <t>Generates multiplicative FiLM modulation factors for model features.</t>
  </si>
  <si>
    <t>FiLM beta</t>
  </si>
  <si>
    <t>film_beta</t>
  </si>
  <si>
    <t>Generates additive FiLM modulation offsets for model features.</t>
  </si>
  <si>
    <t>Fusion preparation</t>
  </si>
  <si>
    <t>Pre-fusion</t>
  </si>
  <si>
    <t>pre_fusion.0</t>
  </si>
  <si>
    <t>(1024, 768)</t>
  </si>
  <si>
    <t>1024 × 768</t>
  </si>
  <si>
    <t>Transforms the combined 512 model features and 256 receiver features into 1024 latent features.</t>
  </si>
  <si>
    <t>pre_fusion.norm</t>
  </si>
  <si>
    <t>Normalizes the fused latent representation before residual fusion blocks.</t>
  </si>
  <si>
    <t>Fusion refinement</t>
  </si>
  <si>
    <t>Fusion block 1</t>
  </si>
  <si>
    <t>fusion_block_1.norm</t>
  </si>
  <si>
    <t>Normalizes the input to the first fusion block.</t>
  </si>
  <si>
    <t>fusion_block_1.linear_1</t>
  </si>
  <si>
    <t>(1024, 1024)</t>
  </si>
  <si>
    <t>1024 × 1024</t>
  </si>
  <si>
    <t>First dense transformation inside fusion block 1.</t>
  </si>
  <si>
    <t>fusion_block_1.linear_2</t>
  </si>
  <si>
    <t>Second dense transformation inside fusion block 1.</t>
  </si>
  <si>
    <t>Fusion block 2</t>
  </si>
  <si>
    <t>fusion_block_2.norm</t>
  </si>
  <si>
    <t>Normalizes the input to the second fusion block.</t>
  </si>
  <si>
    <t>fusion_block_2.linear_1</t>
  </si>
  <si>
    <t>First dense transformation inside fusion block 2.</t>
  </si>
  <si>
    <t>fusion_block_2.linear_2</t>
  </si>
  <si>
    <t>Second dense transformation inside fusion block 2.</t>
  </si>
  <si>
    <t>Trace decoding</t>
  </si>
  <si>
    <t>Trace decoder</t>
  </si>
  <si>
    <t>trace_decoder.0</t>
  </si>
  <si>
    <t>(2048, 1024)</t>
  </si>
  <si>
    <t>2048 × 1024</t>
  </si>
  <si>
    <t>(2048,)</t>
  </si>
  <si>
    <t>2048</t>
  </si>
  <si>
    <t>Expands the fused latent vector before trace reconstruction.</t>
  </si>
  <si>
    <t>trace_decoder.norm_1</t>
  </si>
  <si>
    <t>(2048,) scale</t>
  </si>
  <si>
    <t>(2048,) bias</t>
  </si>
  <si>
    <t>Normalizes the first decoder latent vector.</t>
  </si>
  <si>
    <t>trace_decoder.linear_2</t>
  </si>
  <si>
    <t>(2048, 2048)</t>
  </si>
  <si>
    <t>2048 × 2048</t>
  </si>
  <si>
    <t>Main high-capacity dense transformation in the decoder.</t>
  </si>
  <si>
    <t>trace_decoder.norm_2</t>
  </si>
  <si>
    <t>Normalizes the second decoder latent vector.</t>
  </si>
  <si>
    <t>trace_decoder.output</t>
  </si>
  <si>
    <t>(1500, 2048)</t>
  </si>
  <si>
    <t>1500 × 2048</t>
  </si>
  <si>
    <t>(1500,)</t>
  </si>
  <si>
    <t>1500</t>
  </si>
  <si>
    <t>Final projection to the predicted seismic trace with 1500 time samples.</t>
  </si>
  <si>
    <t>Parameter Subtotals by Functional Block</t>
  </si>
  <si>
    <t>Functional Block</t>
  </si>
  <si>
    <t>Parameters</t>
  </si>
  <si>
    <t>Calculation Rules and Interpretation</t>
  </si>
  <si>
    <t>Layer Type</t>
  </si>
  <si>
    <t>Parameter Formula</t>
  </si>
  <si>
    <t>Meaning</t>
  </si>
  <si>
    <t>Example</t>
  </si>
  <si>
    <t>out_channels × in_channels × kernel_height × kernel_width + out_channels</t>
  </si>
  <si>
    <t>Kernel weights plus one bias per output channel</t>
  </si>
  <si>
    <t>Conv 1→32, k=5: 32×1×5×5 + 32 = 832</t>
  </si>
  <si>
    <t>out_features × in_features + out_features</t>
  </si>
  <si>
    <t>Dense matrix weights plus one bias per output neuron</t>
  </si>
  <si>
    <t>Linear 4096→1024: 1024×4096 + 1024 = 4,195,328</t>
  </si>
  <si>
    <t>features + features</t>
  </si>
  <si>
    <t>Trainable scale gamma plus trainable shift beta</t>
  </si>
  <si>
    <t>LayerNorm 1024: 1024 + 1024 = 2,048</t>
  </si>
  <si>
    <t>0 trainable parameters when frequencies are fixed</t>
  </si>
  <si>
    <t>Coordinate expansion using fixed sine/cosine functions</t>
  </si>
  <si>
    <t>Receiver coordinates 2 → 66 features with no trainable weights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</si>
</sst>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>
    <font>
      <sz val="11"/>
      <name val="Carlito"/>
    </font>
    <font>
      <b/>
      <sz val="14"/>
      <color rgb="FFFFFFFF"/>
      <name val="Carlito"/>
    </font>
    <font>
      <i/>
      <sz val="11"/>
      <color rgb="FF1E3A8A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DBEAFE"/>
      </patternFill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3" fontId="0" fillId="0" borderId="0" xfId="0" applyNumberFormat="1" applyAlignment="1">
      <alignment vertical="top" wrapText="1"/>
    </xf>
    <xf numFmtId="164" fontId="0" fillId="0" borderId="0" xfId="0" applyNumberFormat="1" applyAlignment="1">
      <alignment vertical="top" wrapText="1"/>
    </xf>
    <xf numFmtId="10" fontId="0" fillId="0" borderId="0" xfId="0" applyNumberFormat="1" applyAlignment="1">
      <alignment vertical="top" wrapText="1"/>
    </xf>
    <xf numFmtId="3" fontId="0" fillId="0" borderId="0" xfId="0" applyNumberFormat="1"/>
    <xf numFmtId="164" fontId="0" fillId="0" borderId="0" xfId="0" applyNumberFormat="1"/>
    <xf numFmtId="10" fontId="0" fillId="0" borderId="0" xfId="0" applyNumberFormat="1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GB"/>
              <a:t>Parameters by Functional Block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Parameters</c:v>
          </c:tx>
          <c:invertIfNegative val="1"/>
          <c:cat>
            <c:strRef>
              <c:f>'Block Subtotals'!$B$4:$B$13</c:f>
              <c:strCache>
                <c:ptCount val="10"/>
                <c:pt idx="0">
                  <c:v>Velocity model encoder</c:v>
                </c:pt>
                <c:pt idx="1">
                  <c:v>Model head</c:v>
                </c:pt>
                <c:pt idx="2">
                  <c:v>Receiver encoding</c:v>
                </c:pt>
                <c:pt idx="3">
                  <c:v>Receiver MLP</c:v>
                </c:pt>
                <c:pt idx="4">
                  <c:v>FiLM gamma</c:v>
                </c:pt>
                <c:pt idx="5">
                  <c:v>FiLM beta</c:v>
                </c:pt>
                <c:pt idx="6">
                  <c:v>Pre-fusion</c:v>
                </c:pt>
                <c:pt idx="7">
                  <c:v>Fusion block 1</c:v>
                </c:pt>
                <c:pt idx="8">
                  <c:v>Fusion block 2</c:v>
                </c:pt>
                <c:pt idx="9">
                  <c:v>Trace decoder</c:v>
                </c:pt>
              </c:strCache>
            </c:strRef>
          </c:cat>
          <c:val>
            <c:numRef>
              <c:f>'Block Subtotals'!$C$4:$C$13</c:f>
              <c:numCache>
                <c:formatCode>#,##0</c:formatCode>
                <c:ptCount val="10"/>
                <c:pt idx="0">
                  <c:v>1011200</c:v>
                </c:pt>
                <c:pt idx="1">
                  <c:v>4723200</c:v>
                </c:pt>
                <c:pt idx="2">
                  <c:v>0</c:v>
                </c:pt>
                <c:pt idx="3">
                  <c:v>42368</c:v>
                </c:pt>
                <c:pt idx="4">
                  <c:v>131584</c:v>
                </c:pt>
                <c:pt idx="5">
                  <c:v>131584</c:v>
                </c:pt>
                <c:pt idx="6">
                  <c:v>789504</c:v>
                </c:pt>
                <c:pt idx="7">
                  <c:v>2101248</c:v>
                </c:pt>
                <c:pt idx="8">
                  <c:v>2101248</c:v>
                </c:pt>
                <c:pt idx="9">
                  <c:v>9377244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70-4D83-A50A-FB9BEDF5A4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ayerDetailTable" displayName="LayerDetailTable" ref="A4:S34" totalsRowCount="1">
  <tableColumns count="19">
    <tableColumn id="1" xr3:uid="{00000000-0010-0000-0000-000001000000}" name="Order"/>
    <tableColumn id="2" xr3:uid="{00000000-0010-0000-0000-000002000000}" name="Stage"/>
    <tableColumn id="3" xr3:uid="{00000000-0010-0000-0000-000003000000}" name="Branch / Flow"/>
    <tableColumn id="4" xr3:uid="{00000000-0010-0000-0000-000004000000}" name="Module / Layer"/>
    <tableColumn id="5" xr3:uid="{00000000-0010-0000-0000-000005000000}" name="Operation"/>
    <tableColumn id="6" xr3:uid="{00000000-0010-0000-0000-000006000000}" name="Input Size"/>
    <tableColumn id="7" xr3:uid="{00000000-0010-0000-0000-000007000000}" name="Output Size"/>
    <tableColumn id="8" xr3:uid="{00000000-0010-0000-0000-000008000000}" name="Kernel"/>
    <tableColumn id="9" xr3:uid="{00000000-0010-0000-0000-000009000000}" name="Weight Tensor Shape"/>
    <tableColumn id="10" xr3:uid="{00000000-0010-0000-0000-00000A000000}" name="Weight Calculation"/>
    <tableColumn id="11" xr3:uid="{00000000-0010-0000-0000-00000B000000}" name="Weight Params"/>
    <tableColumn id="12" xr3:uid="{00000000-0010-0000-0000-00000C000000}" name="Bias / Scale-Shift Shape"/>
    <tableColumn id="13" xr3:uid="{00000000-0010-0000-0000-00000D000000}" name="Bias / Scale-Shift Calculation"/>
    <tableColumn id="14" xr3:uid="{00000000-0010-0000-0000-00000E000000}" name="Bias / Scale-Shift Params"/>
    <tableColumn id="15" xr3:uid="{00000000-0010-0000-0000-00000F000000}" name="Total Params" totalsRowFunction="sum"/>
    <tableColumn id="16" xr3:uid="{00000000-0010-0000-0000-000010000000}" name="Parameters (M)"/>
    <tableColumn id="17" xr3:uid="{00000000-0010-0000-0000-000011000000}" name="Share of Total"/>
    <tableColumn id="18" xr3:uid="{00000000-0010-0000-0000-000012000000}" name="Cumulative Params"/>
    <tableColumn id="19" xr3:uid="{00000000-0010-0000-0000-000013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lockSubtotalsTable" displayName="BlockSubtotalsTable" ref="A3:F13">
  <tableColumns count="6">
    <tableColumn id="1" xr3:uid="{00000000-0010-0000-0100-000001000000}" name="Order"/>
    <tableColumn id="2" xr3:uid="{00000000-0010-0000-0100-000002000000}" name="Functional Block"/>
    <tableColumn id="3" xr3:uid="{00000000-0010-0000-0100-000003000000}" name="Parameters"/>
    <tableColumn id="4" xr3:uid="{00000000-0010-0000-0100-000004000000}" name="Parameters (M)"/>
    <tableColumn id="5" xr3:uid="{00000000-0010-0000-0100-000005000000}" name="Share of Total"/>
    <tableColumn id="6" xr3:uid="{00000000-0010-0000-0100-000006000000}" name="Cumulative Param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4"/>
  <sheetViews>
    <sheetView tabSelected="1" workbookViewId="0">
      <selection activeCell="O34" sqref="O34"/>
    </sheetView>
  </sheetViews>
  <sheetFormatPr defaultRowHeight="14.25"/>
  <cols>
    <col min="1" max="1" width="8" customWidth="1"/>
    <col min="2" max="3" width="22" customWidth="1"/>
    <col min="4" max="4" width="24" customWidth="1"/>
    <col min="5" max="5" width="18" customWidth="1"/>
    <col min="6" max="7" width="14" customWidth="1"/>
    <col min="8" max="8" width="10" customWidth="1"/>
    <col min="9" max="9" width="20" customWidth="1"/>
    <col min="10" max="10" width="22" customWidth="1"/>
    <col min="11" max="11" width="14" customWidth="1"/>
    <col min="12" max="12" width="22" customWidth="1"/>
    <col min="13" max="13" width="24" customWidth="1"/>
    <col min="14" max="14" width="16" customWidth="1"/>
    <col min="15" max="17" width="14" customWidth="1"/>
    <col min="18" max="18" width="18" customWidth="1"/>
    <col min="19" max="19" width="44" customWidth="1"/>
  </cols>
  <sheetData>
    <row r="1" spans="1:19" ht="27.95" customHeight="1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"/>
      <c r="R1" s="1"/>
      <c r="S1" s="1"/>
    </row>
    <row r="2" spans="1:19" ht="33.950000000000003" customHeight="1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2"/>
      <c r="R2" s="2"/>
      <c r="S2" s="2"/>
    </row>
    <row r="4" spans="1:19" ht="30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</row>
    <row r="5" spans="1:19">
      <c r="A5" s="4">
        <v>1</v>
      </c>
      <c r="B5" s="4" t="s">
        <v>21</v>
      </c>
      <c r="C5" s="4" t="s">
        <v>22</v>
      </c>
      <c r="D5" s="4" t="s">
        <v>23</v>
      </c>
      <c r="E5" s="4" t="s">
        <v>24</v>
      </c>
      <c r="F5" s="4" t="s">
        <v>25</v>
      </c>
      <c r="G5" s="4" t="s">
        <v>26</v>
      </c>
      <c r="H5" s="4" t="s">
        <v>27</v>
      </c>
      <c r="I5" s="4" t="s">
        <v>28</v>
      </c>
      <c r="J5" s="4" t="s">
        <v>29</v>
      </c>
      <c r="K5" s="5">
        <v>800</v>
      </c>
      <c r="L5" s="4" t="s">
        <v>30</v>
      </c>
      <c r="M5" s="4" t="s">
        <v>31</v>
      </c>
      <c r="N5" s="5">
        <v>32</v>
      </c>
      <c r="O5" s="5">
        <v>832</v>
      </c>
      <c r="P5" s="6">
        <v>8.3199999999999995E-4</v>
      </c>
      <c r="Q5" s="7">
        <v>4.0765969039422456E-5</v>
      </c>
      <c r="R5" s="5">
        <v>832</v>
      </c>
      <c r="S5" s="4" t="s">
        <v>32</v>
      </c>
    </row>
    <row r="6" spans="1:19">
      <c r="A6" s="4">
        <v>2</v>
      </c>
      <c r="B6" s="4" t="s">
        <v>21</v>
      </c>
      <c r="C6" s="4" t="s">
        <v>22</v>
      </c>
      <c r="D6" s="4" t="s">
        <v>33</v>
      </c>
      <c r="E6" s="4" t="s">
        <v>24</v>
      </c>
      <c r="F6" s="4" t="s">
        <v>26</v>
      </c>
      <c r="G6" s="4" t="s">
        <v>34</v>
      </c>
      <c r="H6" s="4" t="s">
        <v>27</v>
      </c>
      <c r="I6" s="4" t="s">
        <v>35</v>
      </c>
      <c r="J6" s="4" t="s">
        <v>36</v>
      </c>
      <c r="K6" s="5">
        <v>51200</v>
      </c>
      <c r="L6" s="4" t="s">
        <v>37</v>
      </c>
      <c r="M6" s="4" t="s">
        <v>38</v>
      </c>
      <c r="N6" s="5">
        <v>64</v>
      </c>
      <c r="O6" s="5">
        <v>51264</v>
      </c>
      <c r="P6" s="6">
        <v>5.1263999999999997E-2</v>
      </c>
      <c r="Q6" s="7">
        <v>2.511810861582876E-3</v>
      </c>
      <c r="R6" s="5">
        <v>52096</v>
      </c>
      <c r="S6" s="4" t="s">
        <v>39</v>
      </c>
    </row>
    <row r="7" spans="1:19">
      <c r="A7" s="4">
        <v>3</v>
      </c>
      <c r="B7" s="4" t="s">
        <v>21</v>
      </c>
      <c r="C7" s="4" t="s">
        <v>22</v>
      </c>
      <c r="D7" s="4" t="s">
        <v>40</v>
      </c>
      <c r="E7" s="4" t="s">
        <v>24</v>
      </c>
      <c r="F7" s="4" t="s">
        <v>34</v>
      </c>
      <c r="G7" s="4" t="s">
        <v>41</v>
      </c>
      <c r="H7" s="4" t="s">
        <v>42</v>
      </c>
      <c r="I7" s="4" t="s">
        <v>43</v>
      </c>
      <c r="J7" s="4" t="s">
        <v>44</v>
      </c>
      <c r="K7" s="5">
        <v>73728</v>
      </c>
      <c r="L7" s="4" t="s">
        <v>45</v>
      </c>
      <c r="M7" s="4" t="s">
        <v>46</v>
      </c>
      <c r="N7" s="5">
        <v>128</v>
      </c>
      <c r="O7" s="5">
        <v>73856</v>
      </c>
      <c r="P7" s="6">
        <v>7.3856000000000005E-2</v>
      </c>
      <c r="Q7" s="7">
        <v>3.6187637131918087E-3</v>
      </c>
      <c r="R7" s="5">
        <v>125952</v>
      </c>
      <c r="S7" s="4" t="s">
        <v>47</v>
      </c>
    </row>
    <row r="8" spans="1:19">
      <c r="A8" s="4">
        <v>4</v>
      </c>
      <c r="B8" s="4" t="s">
        <v>21</v>
      </c>
      <c r="C8" s="4" t="s">
        <v>22</v>
      </c>
      <c r="D8" s="4" t="s">
        <v>48</v>
      </c>
      <c r="E8" s="4" t="s">
        <v>24</v>
      </c>
      <c r="F8" s="4" t="s">
        <v>41</v>
      </c>
      <c r="G8" s="4" t="s">
        <v>49</v>
      </c>
      <c r="H8" s="4" t="s">
        <v>42</v>
      </c>
      <c r="I8" s="4" t="s">
        <v>50</v>
      </c>
      <c r="J8" s="4" t="s">
        <v>51</v>
      </c>
      <c r="K8" s="5">
        <v>294912</v>
      </c>
      <c r="L8" s="4" t="s">
        <v>52</v>
      </c>
      <c r="M8" s="4" t="s">
        <v>53</v>
      </c>
      <c r="N8" s="5">
        <v>256</v>
      </c>
      <c r="O8" s="5">
        <v>295168</v>
      </c>
      <c r="P8" s="6">
        <v>0.29516799999999999</v>
      </c>
      <c r="Q8" s="7">
        <v>1.4462511477678183E-2</v>
      </c>
      <c r="R8" s="5">
        <v>421120</v>
      </c>
      <c r="S8" s="4" t="s">
        <v>54</v>
      </c>
    </row>
    <row r="9" spans="1:19" ht="28.5">
      <c r="A9" s="4">
        <v>5</v>
      </c>
      <c r="B9" s="4" t="s">
        <v>21</v>
      </c>
      <c r="C9" s="4" t="s">
        <v>22</v>
      </c>
      <c r="D9" s="4" t="s">
        <v>55</v>
      </c>
      <c r="E9" s="4" t="s">
        <v>24</v>
      </c>
      <c r="F9" s="4" t="s">
        <v>49</v>
      </c>
      <c r="G9" s="4" t="s">
        <v>49</v>
      </c>
      <c r="H9" s="4" t="s">
        <v>42</v>
      </c>
      <c r="I9" s="4" t="s">
        <v>56</v>
      </c>
      <c r="J9" s="4" t="s">
        <v>57</v>
      </c>
      <c r="K9" s="5">
        <v>589824</v>
      </c>
      <c r="L9" s="4" t="s">
        <v>52</v>
      </c>
      <c r="M9" s="4" t="s">
        <v>53</v>
      </c>
      <c r="N9" s="5">
        <v>256</v>
      </c>
      <c r="O9" s="5">
        <v>590080</v>
      </c>
      <c r="P9" s="6">
        <v>0.59008000000000005</v>
      </c>
      <c r="Q9" s="7">
        <v>2.8912479580267311E-2</v>
      </c>
      <c r="R9" s="5">
        <v>1011200</v>
      </c>
      <c r="S9" s="4" t="s">
        <v>58</v>
      </c>
    </row>
    <row r="10" spans="1:19">
      <c r="A10" s="4">
        <v>6</v>
      </c>
      <c r="B10" s="4" t="s">
        <v>21</v>
      </c>
      <c r="C10" s="4" t="s">
        <v>59</v>
      </c>
      <c r="D10" s="4" t="s">
        <v>60</v>
      </c>
      <c r="E10" s="4" t="s">
        <v>61</v>
      </c>
      <c r="F10" s="4">
        <v>4096</v>
      </c>
      <c r="G10" s="4">
        <v>1024</v>
      </c>
      <c r="H10" s="4"/>
      <c r="I10" s="4" t="s">
        <v>62</v>
      </c>
      <c r="J10" s="4" t="s">
        <v>63</v>
      </c>
      <c r="K10" s="5">
        <v>4194304</v>
      </c>
      <c r="L10" s="4" t="s">
        <v>64</v>
      </c>
      <c r="M10" s="4" t="s">
        <v>65</v>
      </c>
      <c r="N10" s="5">
        <v>1024</v>
      </c>
      <c r="O10" s="5">
        <v>4195328</v>
      </c>
      <c r="P10" s="6">
        <v>4.1953279999999999</v>
      </c>
      <c r="Q10" s="7">
        <v>0.20556083095940161</v>
      </c>
      <c r="R10" s="5">
        <v>5206528</v>
      </c>
      <c r="S10" s="4" t="s">
        <v>66</v>
      </c>
    </row>
    <row r="11" spans="1:19" ht="28.5">
      <c r="A11" s="4">
        <v>7</v>
      </c>
      <c r="B11" s="4" t="s">
        <v>21</v>
      </c>
      <c r="C11" s="4" t="s">
        <v>59</v>
      </c>
      <c r="D11" s="4" t="s">
        <v>67</v>
      </c>
      <c r="E11" s="4" t="s">
        <v>68</v>
      </c>
      <c r="F11" s="4">
        <v>1024</v>
      </c>
      <c r="G11" s="4">
        <v>1024</v>
      </c>
      <c r="H11" s="4"/>
      <c r="I11" s="4" t="s">
        <v>69</v>
      </c>
      <c r="J11" s="4" t="s">
        <v>65</v>
      </c>
      <c r="K11" s="5">
        <v>1024</v>
      </c>
      <c r="L11" s="4" t="s">
        <v>70</v>
      </c>
      <c r="M11" s="4" t="s">
        <v>65</v>
      </c>
      <c r="N11" s="5">
        <v>1024</v>
      </c>
      <c r="O11" s="5">
        <v>2048</v>
      </c>
      <c r="P11" s="6">
        <v>2.0479999999999999E-3</v>
      </c>
      <c r="Q11" s="7">
        <v>1.0034700071242451E-4</v>
      </c>
      <c r="R11" s="5">
        <v>5208576</v>
      </c>
      <c r="S11" s="4" t="s">
        <v>71</v>
      </c>
    </row>
    <row r="12" spans="1:19" ht="28.5">
      <c r="A12" s="4">
        <v>8</v>
      </c>
      <c r="B12" s="4" t="s">
        <v>21</v>
      </c>
      <c r="C12" s="4" t="s">
        <v>59</v>
      </c>
      <c r="D12" s="4" t="s">
        <v>72</v>
      </c>
      <c r="E12" s="4" t="s">
        <v>61</v>
      </c>
      <c r="F12" s="4">
        <v>1024</v>
      </c>
      <c r="G12" s="4">
        <v>512</v>
      </c>
      <c r="H12" s="4"/>
      <c r="I12" s="4" t="s">
        <v>73</v>
      </c>
      <c r="J12" s="4" t="s">
        <v>74</v>
      </c>
      <c r="K12" s="5">
        <v>524288</v>
      </c>
      <c r="L12" s="4" t="s">
        <v>75</v>
      </c>
      <c r="M12" s="4" t="s">
        <v>76</v>
      </c>
      <c r="N12" s="5">
        <v>512</v>
      </c>
      <c r="O12" s="5">
        <v>524800</v>
      </c>
      <c r="P12" s="6">
        <v>0.52480000000000004</v>
      </c>
      <c r="Q12" s="7">
        <v>2.5713918932558779E-2</v>
      </c>
      <c r="R12" s="5">
        <v>5733376</v>
      </c>
      <c r="S12" s="4" t="s">
        <v>77</v>
      </c>
    </row>
    <row r="13" spans="1:19" ht="28.5">
      <c r="A13" s="4">
        <v>9</v>
      </c>
      <c r="B13" s="4" t="s">
        <v>21</v>
      </c>
      <c r="C13" s="4" t="s">
        <v>59</v>
      </c>
      <c r="D13" s="4" t="s">
        <v>78</v>
      </c>
      <c r="E13" s="4" t="s">
        <v>68</v>
      </c>
      <c r="F13" s="4">
        <v>512</v>
      </c>
      <c r="G13" s="4">
        <v>512</v>
      </c>
      <c r="H13" s="4"/>
      <c r="I13" s="4" t="s">
        <v>79</v>
      </c>
      <c r="J13" s="4" t="s">
        <v>76</v>
      </c>
      <c r="K13" s="5">
        <v>512</v>
      </c>
      <c r="L13" s="4" t="s">
        <v>80</v>
      </c>
      <c r="M13" s="4" t="s">
        <v>76</v>
      </c>
      <c r="N13" s="5">
        <v>512</v>
      </c>
      <c r="O13" s="5">
        <v>1024</v>
      </c>
      <c r="P13" s="6">
        <v>1.024E-3</v>
      </c>
      <c r="Q13" s="7">
        <v>5.0173500356212255E-5</v>
      </c>
      <c r="R13" s="5">
        <v>5734400</v>
      </c>
      <c r="S13" s="4" t="s">
        <v>81</v>
      </c>
    </row>
    <row r="14" spans="1:19" ht="28.5">
      <c r="A14" s="4">
        <v>10</v>
      </c>
      <c r="B14" s="4" t="s">
        <v>82</v>
      </c>
      <c r="C14" s="4" t="s">
        <v>83</v>
      </c>
      <c r="D14" s="4" t="s">
        <v>84</v>
      </c>
      <c r="E14" s="4" t="s">
        <v>85</v>
      </c>
      <c r="F14" s="4">
        <v>2</v>
      </c>
      <c r="G14" s="4">
        <v>66</v>
      </c>
      <c r="H14" s="4"/>
      <c r="I14" s="4" t="s">
        <v>86</v>
      </c>
      <c r="J14" s="4" t="s">
        <v>87</v>
      </c>
      <c r="K14" s="5">
        <v>0</v>
      </c>
      <c r="L14" s="4" t="s">
        <v>88</v>
      </c>
      <c r="M14" s="4" t="s">
        <v>87</v>
      </c>
      <c r="N14" s="5">
        <v>0</v>
      </c>
      <c r="O14" s="5">
        <v>0</v>
      </c>
      <c r="P14" s="6">
        <v>0</v>
      </c>
      <c r="Q14" s="7">
        <v>0</v>
      </c>
      <c r="R14" s="5">
        <v>5734400</v>
      </c>
      <c r="S14" s="4" t="s">
        <v>89</v>
      </c>
    </row>
    <row r="15" spans="1:19" ht="28.5">
      <c r="A15" s="4">
        <v>11</v>
      </c>
      <c r="B15" s="4" t="s">
        <v>82</v>
      </c>
      <c r="C15" s="4" t="s">
        <v>90</v>
      </c>
      <c r="D15" s="4" t="s">
        <v>91</v>
      </c>
      <c r="E15" s="4" t="s">
        <v>61</v>
      </c>
      <c r="F15" s="4">
        <v>66</v>
      </c>
      <c r="G15" s="4">
        <v>128</v>
      </c>
      <c r="H15" s="4"/>
      <c r="I15" s="4" t="s">
        <v>92</v>
      </c>
      <c r="J15" s="4" t="s">
        <v>93</v>
      </c>
      <c r="K15" s="5">
        <v>8448</v>
      </c>
      <c r="L15" s="4" t="s">
        <v>45</v>
      </c>
      <c r="M15" s="4" t="s">
        <v>46</v>
      </c>
      <c r="N15" s="5">
        <v>128</v>
      </c>
      <c r="O15" s="5">
        <v>8576</v>
      </c>
      <c r="P15" s="6">
        <v>8.5760000000000003E-3</v>
      </c>
      <c r="Q15" s="7">
        <v>4.2020306548327762E-4</v>
      </c>
      <c r="R15" s="5">
        <v>5742976</v>
      </c>
      <c r="S15" s="4" t="s">
        <v>94</v>
      </c>
    </row>
    <row r="16" spans="1:19">
      <c r="A16" s="4">
        <v>12</v>
      </c>
      <c r="B16" s="4" t="s">
        <v>82</v>
      </c>
      <c r="C16" s="4" t="s">
        <v>90</v>
      </c>
      <c r="D16" s="4" t="s">
        <v>95</v>
      </c>
      <c r="E16" s="4" t="s">
        <v>68</v>
      </c>
      <c r="F16" s="4">
        <v>128</v>
      </c>
      <c r="G16" s="4">
        <v>128</v>
      </c>
      <c r="H16" s="4"/>
      <c r="I16" s="4" t="s">
        <v>96</v>
      </c>
      <c r="J16" s="4" t="s">
        <v>46</v>
      </c>
      <c r="K16" s="5">
        <v>128</v>
      </c>
      <c r="L16" s="4" t="s">
        <v>97</v>
      </c>
      <c r="M16" s="4" t="s">
        <v>46</v>
      </c>
      <c r="N16" s="5">
        <v>128</v>
      </c>
      <c r="O16" s="5">
        <v>256</v>
      </c>
      <c r="P16" s="6">
        <v>2.5599999999999999E-4</v>
      </c>
      <c r="Q16" s="7">
        <v>1.2543375089053064E-5</v>
      </c>
      <c r="R16" s="5">
        <v>5743232</v>
      </c>
      <c r="S16" s="4" t="s">
        <v>98</v>
      </c>
    </row>
    <row r="17" spans="1:19" ht="28.5">
      <c r="A17" s="4">
        <v>13</v>
      </c>
      <c r="B17" s="4" t="s">
        <v>82</v>
      </c>
      <c r="C17" s="4" t="s">
        <v>90</v>
      </c>
      <c r="D17" s="4" t="s">
        <v>99</v>
      </c>
      <c r="E17" s="4" t="s">
        <v>61</v>
      </c>
      <c r="F17" s="4">
        <v>128</v>
      </c>
      <c r="G17" s="4">
        <v>256</v>
      </c>
      <c r="H17" s="4"/>
      <c r="I17" s="4" t="s">
        <v>100</v>
      </c>
      <c r="J17" s="4" t="s">
        <v>101</v>
      </c>
      <c r="K17" s="5">
        <v>32768</v>
      </c>
      <c r="L17" s="4" t="s">
        <v>52</v>
      </c>
      <c r="M17" s="4" t="s">
        <v>53</v>
      </c>
      <c r="N17" s="5">
        <v>256</v>
      </c>
      <c r="O17" s="5">
        <v>33024</v>
      </c>
      <c r="P17" s="6">
        <v>3.3023999999999998E-2</v>
      </c>
      <c r="Q17" s="7">
        <v>1.6180953864878451E-3</v>
      </c>
      <c r="R17" s="5">
        <v>5776256</v>
      </c>
      <c r="S17" s="4" t="s">
        <v>102</v>
      </c>
    </row>
    <row r="18" spans="1:19" ht="28.5">
      <c r="A18" s="4">
        <v>14</v>
      </c>
      <c r="B18" s="4" t="s">
        <v>82</v>
      </c>
      <c r="C18" s="4" t="s">
        <v>90</v>
      </c>
      <c r="D18" s="4" t="s">
        <v>103</v>
      </c>
      <c r="E18" s="4" t="s">
        <v>68</v>
      </c>
      <c r="F18" s="4">
        <v>256</v>
      </c>
      <c r="G18" s="4">
        <v>256</v>
      </c>
      <c r="H18" s="4"/>
      <c r="I18" s="4" t="s">
        <v>104</v>
      </c>
      <c r="J18" s="4" t="s">
        <v>53</v>
      </c>
      <c r="K18" s="5">
        <v>256</v>
      </c>
      <c r="L18" s="4" t="s">
        <v>105</v>
      </c>
      <c r="M18" s="4" t="s">
        <v>53</v>
      </c>
      <c r="N18" s="5">
        <v>256</v>
      </c>
      <c r="O18" s="5">
        <v>512</v>
      </c>
      <c r="P18" s="6">
        <v>5.1199999999999998E-4</v>
      </c>
      <c r="Q18" s="7">
        <v>2.5086750178106128E-5</v>
      </c>
      <c r="R18" s="5">
        <v>5776768</v>
      </c>
      <c r="S18" s="4" t="s">
        <v>106</v>
      </c>
    </row>
    <row r="19" spans="1:19" ht="28.5">
      <c r="A19" s="4">
        <v>15</v>
      </c>
      <c r="B19" s="4" t="s">
        <v>107</v>
      </c>
      <c r="C19" s="4" t="s">
        <v>108</v>
      </c>
      <c r="D19" s="4" t="s">
        <v>109</v>
      </c>
      <c r="E19" s="4" t="s">
        <v>61</v>
      </c>
      <c r="F19" s="4">
        <v>256</v>
      </c>
      <c r="G19" s="4">
        <v>512</v>
      </c>
      <c r="H19" s="4"/>
      <c r="I19" s="4" t="s">
        <v>110</v>
      </c>
      <c r="J19" s="4" t="s">
        <v>111</v>
      </c>
      <c r="K19" s="5">
        <v>131072</v>
      </c>
      <c r="L19" s="4" t="s">
        <v>75</v>
      </c>
      <c r="M19" s="4" t="s">
        <v>76</v>
      </c>
      <c r="N19" s="5">
        <v>512</v>
      </c>
      <c r="O19" s="5">
        <v>131584</v>
      </c>
      <c r="P19" s="6">
        <v>0.13158400000000001</v>
      </c>
      <c r="Q19" s="7">
        <v>6.4472947957732746E-3</v>
      </c>
      <c r="R19" s="5">
        <v>5908352</v>
      </c>
      <c r="S19" s="4" t="s">
        <v>112</v>
      </c>
    </row>
    <row r="20" spans="1:19" ht="28.5">
      <c r="A20" s="4">
        <v>16</v>
      </c>
      <c r="B20" s="4" t="s">
        <v>107</v>
      </c>
      <c r="C20" s="4" t="s">
        <v>113</v>
      </c>
      <c r="D20" s="4" t="s">
        <v>114</v>
      </c>
      <c r="E20" s="4" t="s">
        <v>61</v>
      </c>
      <c r="F20" s="4">
        <v>256</v>
      </c>
      <c r="G20" s="4">
        <v>512</v>
      </c>
      <c r="H20" s="4"/>
      <c r="I20" s="4" t="s">
        <v>110</v>
      </c>
      <c r="J20" s="4" t="s">
        <v>111</v>
      </c>
      <c r="K20" s="5">
        <v>131072</v>
      </c>
      <c r="L20" s="4" t="s">
        <v>75</v>
      </c>
      <c r="M20" s="4" t="s">
        <v>76</v>
      </c>
      <c r="N20" s="5">
        <v>512</v>
      </c>
      <c r="O20" s="5">
        <v>131584</v>
      </c>
      <c r="P20" s="6">
        <v>0.13158400000000001</v>
      </c>
      <c r="Q20" s="7">
        <v>6.4472947957732746E-3</v>
      </c>
      <c r="R20" s="5">
        <v>6039936</v>
      </c>
      <c r="S20" s="4" t="s">
        <v>115</v>
      </c>
    </row>
    <row r="21" spans="1:19" ht="28.5">
      <c r="A21" s="4">
        <v>17</v>
      </c>
      <c r="B21" s="4" t="s">
        <v>116</v>
      </c>
      <c r="C21" s="4" t="s">
        <v>117</v>
      </c>
      <c r="D21" s="4" t="s">
        <v>118</v>
      </c>
      <c r="E21" s="4" t="s">
        <v>61</v>
      </c>
      <c r="F21" s="4">
        <v>768</v>
      </c>
      <c r="G21" s="4">
        <v>1024</v>
      </c>
      <c r="H21" s="4"/>
      <c r="I21" s="4" t="s">
        <v>119</v>
      </c>
      <c r="J21" s="4" t="s">
        <v>120</v>
      </c>
      <c r="K21" s="5">
        <v>786432</v>
      </c>
      <c r="L21" s="4" t="s">
        <v>64</v>
      </c>
      <c r="M21" s="4" t="s">
        <v>65</v>
      </c>
      <c r="N21" s="5">
        <v>1024</v>
      </c>
      <c r="O21" s="5">
        <v>787456</v>
      </c>
      <c r="P21" s="6">
        <v>0.78745600000000004</v>
      </c>
      <c r="Q21" s="7">
        <v>3.8583421773927221E-2</v>
      </c>
      <c r="R21" s="5">
        <v>6827392</v>
      </c>
      <c r="S21" s="4" t="s">
        <v>121</v>
      </c>
    </row>
    <row r="22" spans="1:19" ht="28.5">
      <c r="A22" s="4">
        <v>18</v>
      </c>
      <c r="B22" s="4" t="s">
        <v>116</v>
      </c>
      <c r="C22" s="4" t="s">
        <v>117</v>
      </c>
      <c r="D22" s="4" t="s">
        <v>122</v>
      </c>
      <c r="E22" s="4" t="s">
        <v>68</v>
      </c>
      <c r="F22" s="4">
        <v>1024</v>
      </c>
      <c r="G22" s="4">
        <v>1024</v>
      </c>
      <c r="H22" s="4"/>
      <c r="I22" s="4" t="s">
        <v>69</v>
      </c>
      <c r="J22" s="4" t="s">
        <v>65</v>
      </c>
      <c r="K22" s="5">
        <v>1024</v>
      </c>
      <c r="L22" s="4" t="s">
        <v>70</v>
      </c>
      <c r="M22" s="4" t="s">
        <v>65</v>
      </c>
      <c r="N22" s="5">
        <v>1024</v>
      </c>
      <c r="O22" s="5">
        <v>2048</v>
      </c>
      <c r="P22" s="6">
        <v>2.0479999999999999E-3</v>
      </c>
      <c r="Q22" s="7">
        <v>1.0034700071242451E-4</v>
      </c>
      <c r="R22" s="5">
        <v>6829440</v>
      </c>
      <c r="S22" s="4" t="s">
        <v>123</v>
      </c>
    </row>
    <row r="23" spans="1:19">
      <c r="A23" s="4">
        <v>19</v>
      </c>
      <c r="B23" s="4" t="s">
        <v>124</v>
      </c>
      <c r="C23" s="4" t="s">
        <v>125</v>
      </c>
      <c r="D23" s="4" t="s">
        <v>126</v>
      </c>
      <c r="E23" s="4" t="s">
        <v>68</v>
      </c>
      <c r="F23" s="4">
        <v>1024</v>
      </c>
      <c r="G23" s="4">
        <v>1024</v>
      </c>
      <c r="H23" s="4"/>
      <c r="I23" s="4" t="s">
        <v>69</v>
      </c>
      <c r="J23" s="4" t="s">
        <v>65</v>
      </c>
      <c r="K23" s="5">
        <v>1024</v>
      </c>
      <c r="L23" s="4" t="s">
        <v>70</v>
      </c>
      <c r="M23" s="4" t="s">
        <v>65</v>
      </c>
      <c r="N23" s="5">
        <v>1024</v>
      </c>
      <c r="O23" s="5">
        <v>2048</v>
      </c>
      <c r="P23" s="6">
        <v>2.0479999999999999E-3</v>
      </c>
      <c r="Q23" s="7">
        <v>1.0034700071242451E-4</v>
      </c>
      <c r="R23" s="5">
        <v>6831488</v>
      </c>
      <c r="S23" s="4" t="s">
        <v>127</v>
      </c>
    </row>
    <row r="24" spans="1:19">
      <c r="A24" s="4">
        <v>20</v>
      </c>
      <c r="B24" s="4" t="s">
        <v>124</v>
      </c>
      <c r="C24" s="4" t="s">
        <v>125</v>
      </c>
      <c r="D24" s="4" t="s">
        <v>128</v>
      </c>
      <c r="E24" s="4" t="s">
        <v>61</v>
      </c>
      <c r="F24" s="4">
        <v>1024</v>
      </c>
      <c r="G24" s="4">
        <v>1024</v>
      </c>
      <c r="H24" s="4"/>
      <c r="I24" s="4" t="s">
        <v>129</v>
      </c>
      <c r="J24" s="4" t="s">
        <v>130</v>
      </c>
      <c r="K24" s="5">
        <v>1048576</v>
      </c>
      <c r="L24" s="4" t="s">
        <v>64</v>
      </c>
      <c r="M24" s="4" t="s">
        <v>65</v>
      </c>
      <c r="N24" s="5">
        <v>1024</v>
      </c>
      <c r="O24" s="5">
        <v>1049600</v>
      </c>
      <c r="P24" s="6">
        <v>1.0496000000000001</v>
      </c>
      <c r="Q24" s="7">
        <v>5.1427837865117558E-2</v>
      </c>
      <c r="R24" s="5">
        <v>7881088</v>
      </c>
      <c r="S24" s="4" t="s">
        <v>131</v>
      </c>
    </row>
    <row r="25" spans="1:19">
      <c r="A25" s="4">
        <v>21</v>
      </c>
      <c r="B25" s="4" t="s">
        <v>124</v>
      </c>
      <c r="C25" s="4" t="s">
        <v>125</v>
      </c>
      <c r="D25" s="4" t="s">
        <v>132</v>
      </c>
      <c r="E25" s="4" t="s">
        <v>61</v>
      </c>
      <c r="F25" s="4">
        <v>1024</v>
      </c>
      <c r="G25" s="4">
        <v>1024</v>
      </c>
      <c r="H25" s="4"/>
      <c r="I25" s="4" t="s">
        <v>129</v>
      </c>
      <c r="J25" s="4" t="s">
        <v>130</v>
      </c>
      <c r="K25" s="5">
        <v>1048576</v>
      </c>
      <c r="L25" s="4" t="s">
        <v>64</v>
      </c>
      <c r="M25" s="4" t="s">
        <v>65</v>
      </c>
      <c r="N25" s="5">
        <v>1024</v>
      </c>
      <c r="O25" s="5">
        <v>1049600</v>
      </c>
      <c r="P25" s="6">
        <v>1.0496000000000001</v>
      </c>
      <c r="Q25" s="7">
        <v>5.1427837865117558E-2</v>
      </c>
      <c r="R25" s="5">
        <v>8930688</v>
      </c>
      <c r="S25" s="4" t="s">
        <v>133</v>
      </c>
    </row>
    <row r="26" spans="1:19">
      <c r="A26" s="4">
        <v>22</v>
      </c>
      <c r="B26" s="4" t="s">
        <v>124</v>
      </c>
      <c r="C26" s="4" t="s">
        <v>134</v>
      </c>
      <c r="D26" s="4" t="s">
        <v>135</v>
      </c>
      <c r="E26" s="4" t="s">
        <v>68</v>
      </c>
      <c r="F26" s="4">
        <v>1024</v>
      </c>
      <c r="G26" s="4">
        <v>1024</v>
      </c>
      <c r="H26" s="4"/>
      <c r="I26" s="4" t="s">
        <v>69</v>
      </c>
      <c r="J26" s="4" t="s">
        <v>65</v>
      </c>
      <c r="K26" s="5">
        <v>1024</v>
      </c>
      <c r="L26" s="4" t="s">
        <v>70</v>
      </c>
      <c r="M26" s="4" t="s">
        <v>65</v>
      </c>
      <c r="N26" s="5">
        <v>1024</v>
      </c>
      <c r="O26" s="5">
        <v>2048</v>
      </c>
      <c r="P26" s="6">
        <v>2.0479999999999999E-3</v>
      </c>
      <c r="Q26" s="7">
        <v>1.0034700071242451E-4</v>
      </c>
      <c r="R26" s="5">
        <v>8932736</v>
      </c>
      <c r="S26" s="4" t="s">
        <v>136</v>
      </c>
    </row>
    <row r="27" spans="1:19">
      <c r="A27" s="4">
        <v>23</v>
      </c>
      <c r="B27" s="4" t="s">
        <v>124</v>
      </c>
      <c r="C27" s="4" t="s">
        <v>134</v>
      </c>
      <c r="D27" s="4" t="s">
        <v>137</v>
      </c>
      <c r="E27" s="4" t="s">
        <v>61</v>
      </c>
      <c r="F27" s="4">
        <v>1024</v>
      </c>
      <c r="G27" s="4">
        <v>1024</v>
      </c>
      <c r="H27" s="4"/>
      <c r="I27" s="4" t="s">
        <v>129</v>
      </c>
      <c r="J27" s="4" t="s">
        <v>130</v>
      </c>
      <c r="K27" s="5">
        <v>1048576</v>
      </c>
      <c r="L27" s="4" t="s">
        <v>64</v>
      </c>
      <c r="M27" s="4" t="s">
        <v>65</v>
      </c>
      <c r="N27" s="5">
        <v>1024</v>
      </c>
      <c r="O27" s="5">
        <v>1049600</v>
      </c>
      <c r="P27" s="6">
        <v>1.0496000000000001</v>
      </c>
      <c r="Q27" s="7">
        <v>5.1427837865117558E-2</v>
      </c>
      <c r="R27" s="5">
        <v>9982336</v>
      </c>
      <c r="S27" s="4" t="s">
        <v>138</v>
      </c>
    </row>
    <row r="28" spans="1:19">
      <c r="A28" s="4">
        <v>24</v>
      </c>
      <c r="B28" s="4" t="s">
        <v>124</v>
      </c>
      <c r="C28" s="4" t="s">
        <v>134</v>
      </c>
      <c r="D28" s="4" t="s">
        <v>139</v>
      </c>
      <c r="E28" s="4" t="s">
        <v>61</v>
      </c>
      <c r="F28" s="4">
        <v>1024</v>
      </c>
      <c r="G28" s="4">
        <v>1024</v>
      </c>
      <c r="H28" s="4"/>
      <c r="I28" s="4" t="s">
        <v>129</v>
      </c>
      <c r="J28" s="4" t="s">
        <v>130</v>
      </c>
      <c r="K28" s="5">
        <v>1048576</v>
      </c>
      <c r="L28" s="4" t="s">
        <v>64</v>
      </c>
      <c r="M28" s="4" t="s">
        <v>65</v>
      </c>
      <c r="N28" s="5">
        <v>1024</v>
      </c>
      <c r="O28" s="5">
        <v>1049600</v>
      </c>
      <c r="P28" s="6">
        <v>1.0496000000000001</v>
      </c>
      <c r="Q28" s="7">
        <v>5.1427837865117558E-2</v>
      </c>
      <c r="R28" s="5">
        <v>11031936</v>
      </c>
      <c r="S28" s="4" t="s">
        <v>140</v>
      </c>
    </row>
    <row r="29" spans="1:19" ht="28.5">
      <c r="A29" s="4">
        <v>25</v>
      </c>
      <c r="B29" s="4" t="s">
        <v>141</v>
      </c>
      <c r="C29" s="4" t="s">
        <v>142</v>
      </c>
      <c r="D29" s="4" t="s">
        <v>143</v>
      </c>
      <c r="E29" s="4" t="s">
        <v>61</v>
      </c>
      <c r="F29" s="4">
        <v>1024</v>
      </c>
      <c r="G29" s="4">
        <v>2048</v>
      </c>
      <c r="H29" s="4"/>
      <c r="I29" s="4" t="s">
        <v>144</v>
      </c>
      <c r="J29" s="4" t="s">
        <v>145</v>
      </c>
      <c r="K29" s="5">
        <v>2097152</v>
      </c>
      <c r="L29" s="4" t="s">
        <v>146</v>
      </c>
      <c r="M29" s="4" t="s">
        <v>147</v>
      </c>
      <c r="N29" s="5">
        <v>2048</v>
      </c>
      <c r="O29" s="5">
        <v>2099200</v>
      </c>
      <c r="P29" s="6">
        <v>2.0992000000000002</v>
      </c>
      <c r="Q29" s="7">
        <v>0.10285567573023512</v>
      </c>
      <c r="R29" s="5">
        <v>13131136</v>
      </c>
      <c r="S29" s="4" t="s">
        <v>148</v>
      </c>
    </row>
    <row r="30" spans="1:19">
      <c r="A30" s="4">
        <v>26</v>
      </c>
      <c r="B30" s="4" t="s">
        <v>141</v>
      </c>
      <c r="C30" s="4" t="s">
        <v>142</v>
      </c>
      <c r="D30" s="4" t="s">
        <v>149</v>
      </c>
      <c r="E30" s="4" t="s">
        <v>68</v>
      </c>
      <c r="F30" s="4">
        <v>2048</v>
      </c>
      <c r="G30" s="4">
        <v>2048</v>
      </c>
      <c r="H30" s="4"/>
      <c r="I30" s="4" t="s">
        <v>150</v>
      </c>
      <c r="J30" s="4" t="s">
        <v>147</v>
      </c>
      <c r="K30" s="5">
        <v>2048</v>
      </c>
      <c r="L30" s="4" t="s">
        <v>151</v>
      </c>
      <c r="M30" s="4" t="s">
        <v>147</v>
      </c>
      <c r="N30" s="5">
        <v>2048</v>
      </c>
      <c r="O30" s="5">
        <v>4096</v>
      </c>
      <c r="P30" s="6">
        <v>4.0959999999999998E-3</v>
      </c>
      <c r="Q30" s="7">
        <v>2.0069400142484902E-4</v>
      </c>
      <c r="R30" s="5">
        <v>13135232</v>
      </c>
      <c r="S30" s="4" t="s">
        <v>152</v>
      </c>
    </row>
    <row r="31" spans="1:19" ht="28.5">
      <c r="A31" s="4">
        <v>27</v>
      </c>
      <c r="B31" s="4" t="s">
        <v>141</v>
      </c>
      <c r="C31" s="4" t="s">
        <v>142</v>
      </c>
      <c r="D31" s="4" t="s">
        <v>153</v>
      </c>
      <c r="E31" s="4" t="s">
        <v>61</v>
      </c>
      <c r="F31" s="4">
        <v>2048</v>
      </c>
      <c r="G31" s="4">
        <v>2048</v>
      </c>
      <c r="H31" s="4"/>
      <c r="I31" s="4" t="s">
        <v>154</v>
      </c>
      <c r="J31" s="4" t="s">
        <v>155</v>
      </c>
      <c r="K31" s="5">
        <v>4194304</v>
      </c>
      <c r="L31" s="4" t="s">
        <v>146</v>
      </c>
      <c r="M31" s="4" t="s">
        <v>147</v>
      </c>
      <c r="N31" s="5">
        <v>2048</v>
      </c>
      <c r="O31" s="5">
        <v>4196352</v>
      </c>
      <c r="P31" s="6">
        <v>4.1963520000000001</v>
      </c>
      <c r="Q31" s="7">
        <v>0.2056110044597578</v>
      </c>
      <c r="R31" s="5">
        <v>17331584</v>
      </c>
      <c r="S31" s="4" t="s">
        <v>156</v>
      </c>
    </row>
    <row r="32" spans="1:19">
      <c r="A32" s="4">
        <v>28</v>
      </c>
      <c r="B32" s="4" t="s">
        <v>141</v>
      </c>
      <c r="C32" s="4" t="s">
        <v>142</v>
      </c>
      <c r="D32" s="4" t="s">
        <v>157</v>
      </c>
      <c r="E32" s="4" t="s">
        <v>68</v>
      </c>
      <c r="F32" s="4">
        <v>2048</v>
      </c>
      <c r="G32" s="4">
        <v>2048</v>
      </c>
      <c r="H32" s="4"/>
      <c r="I32" s="4" t="s">
        <v>150</v>
      </c>
      <c r="J32" s="4" t="s">
        <v>147</v>
      </c>
      <c r="K32" s="5">
        <v>2048</v>
      </c>
      <c r="L32" s="4" t="s">
        <v>151</v>
      </c>
      <c r="M32" s="4" t="s">
        <v>147</v>
      </c>
      <c r="N32" s="5">
        <v>2048</v>
      </c>
      <c r="O32" s="5">
        <v>4096</v>
      </c>
      <c r="P32" s="6">
        <v>4.0959999999999998E-3</v>
      </c>
      <c r="Q32" s="7">
        <v>2.0069400142484902E-4</v>
      </c>
      <c r="R32" s="5">
        <v>17335680</v>
      </c>
      <c r="S32" s="4" t="s">
        <v>158</v>
      </c>
    </row>
    <row r="33" spans="1:19" ht="28.5">
      <c r="A33" s="4">
        <v>29</v>
      </c>
      <c r="B33" s="4" t="s">
        <v>141</v>
      </c>
      <c r="C33" s="4" t="s">
        <v>142</v>
      </c>
      <c r="D33" s="4" t="s">
        <v>159</v>
      </c>
      <c r="E33" s="4" t="s">
        <v>61</v>
      </c>
      <c r="F33" s="4">
        <v>2048</v>
      </c>
      <c r="G33" s="4">
        <v>1500</v>
      </c>
      <c r="H33" s="4"/>
      <c r="I33" s="4" t="s">
        <v>160</v>
      </c>
      <c r="J33" s="4" t="s">
        <v>161</v>
      </c>
      <c r="K33" s="5">
        <v>3072000</v>
      </c>
      <c r="L33" s="4" t="s">
        <v>162</v>
      </c>
      <c r="M33" s="4" t="s">
        <v>163</v>
      </c>
      <c r="N33" s="5">
        <v>1500</v>
      </c>
      <c r="O33" s="5">
        <v>3073500</v>
      </c>
      <c r="P33" s="6">
        <v>3.0735000000000001</v>
      </c>
      <c r="Q33" s="7">
        <v>0.15059399740704918</v>
      </c>
      <c r="R33" s="5">
        <v>20409180</v>
      </c>
      <c r="S33" s="4" t="s">
        <v>164</v>
      </c>
    </row>
    <row r="34" spans="1:19">
      <c r="O34">
        <f>SUBTOTAL(109,LayerDetailTable[Total Params])</f>
        <v>20409180</v>
      </c>
    </row>
  </sheetData>
  <mergeCells count="2">
    <mergeCell ref="A1:P1"/>
    <mergeCell ref="A2:P2"/>
  </mergeCells>
  <conditionalFormatting sqref="O5:O33">
    <cfRule type="dataBar" priority="1">
      <dataBar>
        <cfvo type="min"/>
        <cfvo type="max"/>
        <color rgb="FF2563EB"/>
      </dataBar>
    </cfRule>
    <cfRule type="dataBar" priority="2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{C7187020-5CFF-14D1-D7E9-0E055A08C270}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7187020-5CFF-14D1-D7E9-0E055A08C270}">
            <x14:dataBar>
              <x14:cfvo type="min"/>
              <x14:cfvo type="max"/>
              <x14:negativeFillColor auto="1"/>
              <x14:axisColor auto="1"/>
            </x14:dataBar>
          </x14:cfRule>
          <xm:sqref>O5:O33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workbookViewId="0">
      <selection sqref="A1:F1"/>
    </sheetView>
  </sheetViews>
  <sheetFormatPr defaultRowHeight="14.25"/>
  <cols>
    <col min="1" max="1" width="8" customWidth="1"/>
    <col min="2" max="2" width="34" customWidth="1"/>
    <col min="3" max="5" width="16" customWidth="1"/>
    <col min="6" max="6" width="18" customWidth="1"/>
  </cols>
  <sheetData>
    <row r="1" spans="1:6" ht="27.95" customHeight="1">
      <c r="A1" s="11" t="s">
        <v>165</v>
      </c>
      <c r="B1" s="11"/>
      <c r="C1" s="11"/>
      <c r="D1" s="11"/>
      <c r="E1" s="11"/>
      <c r="F1" s="11"/>
    </row>
    <row r="3" spans="1:6" ht="27.95" customHeight="1">
      <c r="A3" s="3" t="s">
        <v>2</v>
      </c>
      <c r="B3" s="3" t="s">
        <v>166</v>
      </c>
      <c r="C3" s="3" t="s">
        <v>167</v>
      </c>
      <c r="D3" s="3" t="s">
        <v>17</v>
      </c>
      <c r="E3" s="3" t="s">
        <v>18</v>
      </c>
      <c r="F3" s="3" t="s">
        <v>19</v>
      </c>
    </row>
    <row r="4" spans="1:6">
      <c r="A4">
        <v>1</v>
      </c>
      <c r="B4" t="s">
        <v>22</v>
      </c>
      <c r="C4" s="8">
        <v>1011200</v>
      </c>
      <c r="D4" s="9">
        <v>1.0112000000000001</v>
      </c>
      <c r="E4" s="10">
        <v>4.9546331601759599E-2</v>
      </c>
      <c r="F4" s="8">
        <v>1011200</v>
      </c>
    </row>
    <row r="5" spans="1:6">
      <c r="A5">
        <v>2</v>
      </c>
      <c r="B5" t="s">
        <v>59</v>
      </c>
      <c r="C5" s="8">
        <v>4723200</v>
      </c>
      <c r="D5" s="9">
        <v>4.7232000000000003</v>
      </c>
      <c r="E5" s="10">
        <v>0.23142527039302901</v>
      </c>
      <c r="F5" s="8">
        <v>5734400</v>
      </c>
    </row>
    <row r="6" spans="1:6">
      <c r="A6">
        <v>3</v>
      </c>
      <c r="B6" t="s">
        <v>83</v>
      </c>
      <c r="C6" s="8">
        <v>0</v>
      </c>
      <c r="D6" s="9">
        <v>0</v>
      </c>
      <c r="E6" s="10">
        <v>0</v>
      </c>
      <c r="F6" s="8">
        <v>5734400</v>
      </c>
    </row>
    <row r="7" spans="1:6">
      <c r="A7">
        <v>4</v>
      </c>
      <c r="B7" t="s">
        <v>90</v>
      </c>
      <c r="C7" s="8">
        <v>42368</v>
      </c>
      <c r="D7" s="9">
        <v>4.2368000000000003E-2</v>
      </c>
      <c r="E7" s="10">
        <v>2.0759285772382818E-3</v>
      </c>
      <c r="F7" s="8">
        <v>5776768</v>
      </c>
    </row>
    <row r="8" spans="1:6">
      <c r="A8">
        <v>5</v>
      </c>
      <c r="B8" t="s">
        <v>108</v>
      </c>
      <c r="C8" s="8">
        <v>131584</v>
      </c>
      <c r="D8" s="9">
        <v>0.13158400000000001</v>
      </c>
      <c r="E8" s="10">
        <v>6.4472947957732746E-3</v>
      </c>
      <c r="F8" s="8">
        <v>5908352</v>
      </c>
    </row>
    <row r="9" spans="1:6">
      <c r="A9">
        <v>6</v>
      </c>
      <c r="B9" t="s">
        <v>113</v>
      </c>
      <c r="C9" s="8">
        <v>131584</v>
      </c>
      <c r="D9" s="9">
        <v>0.13158400000000001</v>
      </c>
      <c r="E9" s="10">
        <v>6.4472947957732746E-3</v>
      </c>
      <c r="F9" s="8">
        <v>6039936</v>
      </c>
    </row>
    <row r="10" spans="1:6">
      <c r="A10">
        <v>7</v>
      </c>
      <c r="B10" t="s">
        <v>117</v>
      </c>
      <c r="C10" s="8">
        <v>789504</v>
      </c>
      <c r="D10" s="9">
        <v>0.78950399999999998</v>
      </c>
      <c r="E10" s="10">
        <v>3.8683768774639644E-2</v>
      </c>
      <c r="F10" s="8">
        <v>6829440</v>
      </c>
    </row>
    <row r="11" spans="1:6">
      <c r="A11">
        <v>8</v>
      </c>
      <c r="B11" t="s">
        <v>125</v>
      </c>
      <c r="C11" s="8">
        <v>2101248</v>
      </c>
      <c r="D11" s="9">
        <v>2.101248</v>
      </c>
      <c r="E11" s="10">
        <v>0.10295602273094755</v>
      </c>
      <c r="F11" s="8">
        <v>8930688</v>
      </c>
    </row>
    <row r="12" spans="1:6">
      <c r="A12">
        <v>9</v>
      </c>
      <c r="B12" t="s">
        <v>134</v>
      </c>
      <c r="C12" s="8">
        <v>2101248</v>
      </c>
      <c r="D12" s="9">
        <v>2.101248</v>
      </c>
      <c r="E12" s="10">
        <v>0.10295602273094755</v>
      </c>
      <c r="F12" s="8">
        <v>11031936</v>
      </c>
    </row>
    <row r="13" spans="1:6">
      <c r="A13">
        <v>10</v>
      </c>
      <c r="B13" t="s">
        <v>142</v>
      </c>
      <c r="C13" s="8">
        <v>9377244</v>
      </c>
      <c r="D13" s="9">
        <v>9.3772439999999992</v>
      </c>
      <c r="E13" s="10">
        <v>0.45946206559989183</v>
      </c>
      <c r="F13" s="8">
        <v>20409180</v>
      </c>
    </row>
  </sheetData>
  <mergeCells count="1">
    <mergeCell ref="A1:F1"/>
  </mergeCell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>
      <selection sqref="A1:D1"/>
    </sheetView>
  </sheetViews>
  <sheetFormatPr defaultRowHeight="14.25"/>
  <cols>
    <col min="1" max="1" width="18" customWidth="1"/>
    <col min="2" max="2" width="44" customWidth="1"/>
    <col min="3" max="3" width="50" customWidth="1"/>
    <col min="4" max="4" width="52" customWidth="1"/>
  </cols>
  <sheetData>
    <row r="1" spans="1:4" ht="27.95" customHeight="1">
      <c r="A1" s="11" t="s">
        <v>168</v>
      </c>
      <c r="B1" s="11"/>
      <c r="C1" s="11"/>
      <c r="D1" s="11"/>
    </row>
    <row r="3" spans="1:4" ht="27.95" customHeight="1">
      <c r="A3" s="3" t="s">
        <v>169</v>
      </c>
      <c r="B3" s="3" t="s">
        <v>170</v>
      </c>
      <c r="C3" s="3" t="s">
        <v>171</v>
      </c>
      <c r="D3" s="3" t="s">
        <v>172</v>
      </c>
    </row>
    <row r="4" spans="1:4" ht="28.5">
      <c r="A4" s="4" t="s">
        <v>24</v>
      </c>
      <c r="B4" s="4" t="s">
        <v>173</v>
      </c>
      <c r="C4" s="4" t="s">
        <v>174</v>
      </c>
      <c r="D4" s="4" t="s">
        <v>175</v>
      </c>
    </row>
    <row r="5" spans="1:4">
      <c r="A5" s="4" t="s">
        <v>61</v>
      </c>
      <c r="B5" s="4" t="s">
        <v>176</v>
      </c>
      <c r="C5" s="4" t="s">
        <v>177</v>
      </c>
      <c r="D5" s="4" t="s">
        <v>178</v>
      </c>
    </row>
    <row r="6" spans="1:4">
      <c r="A6" s="4" t="s">
        <v>68</v>
      </c>
      <c r="B6" s="4" t="s">
        <v>179</v>
      </c>
      <c r="C6" s="4" t="s">
        <v>180</v>
      </c>
      <c r="D6" s="4" t="s">
        <v>181</v>
      </c>
    </row>
    <row r="7" spans="1:4" ht="28.5">
      <c r="A7" s="4" t="s">
        <v>85</v>
      </c>
      <c r="B7" s="4" t="s">
        <v>182</v>
      </c>
      <c r="C7" s="4" t="s">
        <v>183</v>
      </c>
      <c r="D7" s="4" t="s">
        <v>184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Layer-by-Layer Order</vt:lpstr>
      <vt:lpstr>Block Subtotals</vt:lpstr>
      <vt:lpstr>Calculation 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Celi</cp:lastModifiedBy>
  <dcterms:modified xsi:type="dcterms:W3CDTF">2026-05-02T22:44:08Z</dcterms:modified>
</cp:coreProperties>
</file>